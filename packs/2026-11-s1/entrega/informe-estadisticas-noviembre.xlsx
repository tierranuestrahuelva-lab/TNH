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  <sheet name="Resumen" sheetId="2" state="visible" r:id="rId2"/>
    <sheet name="Anun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830040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30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2" customWidth="1" min="9" max="9"/>
    <col width="12" customWidth="1" min="10" max="10"/>
    <col width="13" customWidth="1" min="11" max="11"/>
    <col width="30" customWidth="1" min="12" max="12"/>
  </cols>
  <sheetData>
    <row r="1">
      <c r="A1" s="1" t="inlineStr">
        <is>
          <t>Informe de redes · Tierra Nuestra · Noviembre 2026</t>
        </is>
      </c>
    </row>
    <row r="2">
      <c r="A2" s="2" t="inlineStr">
        <is>
          <t>Rellena los números de cada publicación (Instagram → publicación → Ver estadísticas). La columna Interacción % se calcula sola.</t>
        </is>
      </c>
    </row>
    <row r="4">
      <c r="A4" s="3" t="inlineStr">
        <is>
          <t>Fecha</t>
        </is>
      </c>
      <c r="B4" s="3" t="inlineStr">
        <is>
          <t>Pieza</t>
        </is>
      </c>
      <c r="C4" s="3" t="inlineStr">
        <is>
          <t>Tipo</t>
        </is>
      </c>
      <c r="D4" s="3" t="inlineStr">
        <is>
          <t>Público</t>
        </is>
      </c>
      <c r="E4" s="3" t="inlineStr">
        <is>
          <t>Alcance</t>
        </is>
      </c>
      <c r="F4" s="3" t="inlineStr">
        <is>
          <t>Me gusta</t>
        </is>
      </c>
      <c r="G4" s="3" t="inlineStr">
        <is>
          <t>Comentarios</t>
        </is>
      </c>
      <c r="H4" s="3" t="inlineStr">
        <is>
          <t>Guardados</t>
        </is>
      </c>
      <c r="I4" s="3" t="inlineStr">
        <is>
          <t>Compartidos</t>
        </is>
      </c>
      <c r="J4" s="3" t="inlineStr">
        <is>
          <t>Mensajes recibidos</t>
        </is>
      </c>
      <c r="K4" s="3" t="inlineStr">
        <is>
          <t>Interacción %</t>
        </is>
      </c>
      <c r="L4" s="3" t="inlineStr">
        <is>
          <t>Notas</t>
        </is>
      </c>
    </row>
    <row r="5">
      <c r="A5" t="inlineStr">
        <is>
          <t>2026-11-02</t>
        </is>
      </c>
      <c r="B5" t="inlineStr">
        <is>
          <t>01_lun_horeca_carta</t>
        </is>
      </c>
      <c r="C5" t="inlineStr">
        <is>
          <t>Carrusel</t>
        </is>
      </c>
      <c r="D5" t="inlineStr">
        <is>
          <t>Horeca</t>
        </is>
      </c>
      <c r="K5" s="4">
        <f>IF(E5&gt;0,(F5+G5+H5+I5)/E5,"")</f>
        <v/>
      </c>
      <c r="L5" t="inlineStr"/>
    </row>
    <row r="6">
      <c r="A6" t="inlineStr">
        <is>
          <t>2026-11-03</t>
        </is>
      </c>
      <c r="B6" t="inlineStr">
        <is>
          <t>02_mar_story_horeca</t>
        </is>
      </c>
      <c r="C6" t="inlineStr">
        <is>
          <t>Historia</t>
        </is>
      </c>
      <c r="D6" t="inlineStr">
        <is>
          <t>Horeca</t>
        </is>
      </c>
      <c r="K6" s="4">
        <f>IF(E6&gt;0,(F6+G6+H6+I6)/E6,"")</f>
        <v/>
      </c>
      <c r="L6" t="inlineStr"/>
    </row>
    <row r="7">
      <c r="A7" t="inlineStr">
        <is>
          <t>2026-11-04</t>
        </is>
      </c>
      <c r="B7" t="inlineStr">
        <is>
          <t>03_mie_vino_barredero</t>
        </is>
      </c>
      <c r="C7" t="inlineStr">
        <is>
          <t>Post</t>
        </is>
      </c>
      <c r="D7" t="inlineStr">
        <is>
          <t>Tienda</t>
        </is>
      </c>
      <c r="K7" s="4">
        <f>IF(E7&gt;0,(F7+G7+H7+I7)/E7,"")</f>
        <v/>
      </c>
      <c r="L7" t="inlineStr"/>
    </row>
    <row r="8">
      <c r="A8" t="inlineStr">
        <is>
          <t>2026-11-04</t>
        </is>
      </c>
      <c r="B8" t="inlineStr">
        <is>
          <t>04_mie_story_barredero</t>
        </is>
      </c>
      <c r="C8" t="inlineStr">
        <is>
          <t>Historia</t>
        </is>
      </c>
      <c r="D8" t="inlineStr">
        <is>
          <t>Tienda</t>
        </is>
      </c>
      <c r="K8" s="4">
        <f>IF(E8&gt;0,(F8+G8+H8+I8)/E8,"")</f>
        <v/>
      </c>
      <c r="L8" t="inlineStr"/>
    </row>
    <row r="9">
      <c r="A9" t="inlineStr">
        <is>
          <t>2026-11-05</t>
        </is>
      </c>
      <c r="B9" t="inlineStr">
        <is>
          <t>05_jue_navidad_empresas</t>
        </is>
      </c>
      <c r="C9" t="inlineStr">
        <is>
          <t>Post</t>
        </is>
      </c>
      <c r="D9" t="inlineStr">
        <is>
          <t>Horeca</t>
        </is>
      </c>
      <c r="K9" s="4">
        <f>IF(E9&gt;0,(F9+G9+H9+I9)/E9,"")</f>
        <v/>
      </c>
      <c r="L9" t="inlineStr"/>
    </row>
    <row r="10">
      <c r="A10" t="inlineStr">
        <is>
          <t>2026-11-05</t>
        </is>
      </c>
      <c r="B10" t="inlineStr">
        <is>
          <t>06_jue_story_encuesta</t>
        </is>
      </c>
      <c r="C10" t="inlineStr">
        <is>
          <t>Historia</t>
        </is>
      </c>
      <c r="D10" t="inlineStr">
        <is>
          <t>Tienda</t>
        </is>
      </c>
      <c r="K10" s="4">
        <f>IF(E10&gt;0,(F10+G10+H10+I10)/E10,"")</f>
        <v/>
      </c>
      <c r="L10" t="inlineStr"/>
    </row>
    <row r="11">
      <c r="A11" t="inlineStr">
        <is>
          <t>2026-11-06</t>
        </is>
      </c>
      <c r="B11" t="inlineStr">
        <is>
          <t>07_vie_iberico_trio</t>
        </is>
      </c>
      <c r="C11" t="inlineStr">
        <is>
          <t>Post</t>
        </is>
      </c>
      <c r="D11" t="inlineStr">
        <is>
          <t>Tienda</t>
        </is>
      </c>
      <c r="K11" s="4">
        <f>IF(E11&gt;0,(F11+G11+H11+I11)/E11,"")</f>
        <v/>
      </c>
      <c r="L11" t="inlineStr"/>
    </row>
    <row r="12">
      <c r="A12" t="inlineStr">
        <is>
          <t>2026-11-07</t>
        </is>
      </c>
      <c r="B12" t="inlineStr">
        <is>
          <t>08_sab_story_club</t>
        </is>
      </c>
      <c r="C12" t="inlineStr">
        <is>
          <t>Historia</t>
        </is>
      </c>
      <c r="D12" t="inlineStr">
        <is>
          <t>Tienda</t>
        </is>
      </c>
      <c r="K12" s="4">
        <f>IF(E12&gt;0,(F12+G12+H12+I12)/E12,"")</f>
        <v/>
      </c>
      <c r="L12" t="inlineStr"/>
    </row>
    <row r="13">
      <c r="A13" t="inlineStr">
        <is>
          <t>2026-11-08</t>
        </is>
      </c>
      <c r="B13" t="inlineStr">
        <is>
          <t>09_dom_enoturismo</t>
        </is>
      </c>
      <c r="C13" t="inlineStr">
        <is>
          <t>Post</t>
        </is>
      </c>
      <c r="D13" t="inlineStr">
        <is>
          <t>Tienda</t>
        </is>
      </c>
      <c r="K13" s="4">
        <f>IF(E13&gt;0,(F13+G13+H13+I13)/E13,"")</f>
        <v/>
      </c>
      <c r="L13" t="inlineStr"/>
    </row>
    <row r="14">
      <c r="K14" s="4">
        <f>IF(E14&gt;0,(F14+G14+H14+I14)/E14,"")</f>
        <v/>
      </c>
      <c r="L14" t="inlineStr"/>
    </row>
    <row r="15">
      <c r="K15" s="4">
        <f>IF(E15&gt;0,(F15+G15+H15+I15)/E15,"")</f>
        <v/>
      </c>
      <c r="L15" t="inlineStr"/>
    </row>
    <row r="16">
      <c r="K16" s="4">
        <f>IF(E16&gt;0,(F16+G16+H16+I16)/E16,"")</f>
        <v/>
      </c>
      <c r="L16" t="inlineStr"/>
    </row>
    <row r="17">
      <c r="K17" s="4">
        <f>IF(E17&gt;0,(F17+G17+H17+I17)/E17,"")</f>
        <v/>
      </c>
      <c r="L17" t="inlineStr"/>
    </row>
    <row r="18">
      <c r="K18" s="4">
        <f>IF(E18&gt;0,(F18+G18+H18+I18)/E18,"")</f>
        <v/>
      </c>
      <c r="L18" t="inlineStr"/>
    </row>
    <row r="19">
      <c r="K19" s="4">
        <f>IF(E19&gt;0,(F19+G19+H19+I19)/E19,"")</f>
        <v/>
      </c>
      <c r="L19" t="inlineStr"/>
    </row>
    <row r="20">
      <c r="K20" s="4">
        <f>IF(E20&gt;0,(F20+G20+H20+I20)/E20,"")</f>
        <v/>
      </c>
      <c r="L20" t="inlineStr"/>
    </row>
    <row r="21">
      <c r="K21" s="4">
        <f>IF(E21&gt;0,(F21+G21+H21+I21)/E21,"")</f>
        <v/>
      </c>
      <c r="L21" t="inlineStr"/>
    </row>
  </sheetData>
  <dataValidations count="1">
    <dataValidation sqref="D5:D21" showDropDown="0" showInputMessage="0" showErrorMessage="0" allowBlank="0" type="list">
      <formula1>"Horeca,Tienda,Ambos"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" t="inlineStr">
        <is>
          <t>Resumen del mes</t>
        </is>
      </c>
    </row>
    <row r="3">
      <c r="A3" t="inlineStr">
        <is>
          <t>Total alcance</t>
        </is>
      </c>
      <c r="B3">
        <f>SUM(Publicaciones!E5:E21)</f>
        <v/>
      </c>
    </row>
    <row r="4">
      <c r="A4" t="inlineStr">
        <is>
          <t>Interacción media</t>
        </is>
      </c>
      <c r="B4" s="4">
        <f>IFERROR(AVERAGE(Publicaciones!K5:K21),"")</f>
        <v/>
      </c>
    </row>
    <row r="5">
      <c r="A5" t="inlineStr">
        <is>
          <t>Mejor publicación (más interacción)</t>
        </is>
      </c>
      <c r="B5">
        <f>IFERROR(INDEX(Publicaciones!B5:B21,MATCH(MAX(Publicaciones!K5:K21),Publicaciones!K5:K21,0)),"")</f>
        <v/>
      </c>
    </row>
    <row r="6">
      <c r="A6" t="inlineStr">
        <is>
          <t>Mensajes recibidos</t>
        </is>
      </c>
      <c r="B6">
        <f>SUM(Publicaciones!J5:J21)</f>
        <v/>
      </c>
    </row>
    <row r="7">
      <c r="A7" t="inlineStr">
        <is>
          <t>Interacción media Horeca</t>
        </is>
      </c>
      <c r="B7" s="4">
        <f>IFERROR(AVERAGEIF(Publicaciones!D5:D21,"Horeca",Publicaciones!K5:K21),"")</f>
        <v/>
      </c>
    </row>
    <row r="8">
      <c r="A8" t="inlineStr">
        <is>
          <t>Interacción media Tienda</t>
        </is>
      </c>
      <c r="B8" s="4">
        <f>IFERROR(AVERAGEIF(Publicaciones!D5:D21,"Tienda",Publicaciones!K5:K21),"")</f>
        <v/>
      </c>
    </row>
    <row r="9">
      <c r="A9" t="inlineStr">
        <is>
          <t>Seguidores al empezar el mes</t>
        </is>
      </c>
    </row>
    <row r="10">
      <c r="A10" t="inlineStr">
        <is>
          <t>Seguidores al acabar el mes</t>
        </is>
      </c>
    </row>
    <row r="11">
      <c r="A11" t="inlineStr">
        <is>
          <t>Seguidores ganados</t>
        </is>
      </c>
      <c r="B11">
        <f>IF(AND(B9&lt;&gt;"",B10&lt;&gt;""),B10-B9,"")</f>
        <v/>
      </c>
    </row>
    <row r="13">
      <c r="A13" t="inlineStr">
        <is>
          <t>Qué mirar: lo que más se guarda y comparte es lo que más gusta. Lo que trae mensajes es lo que más vende. Repetimos lo que funcione.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  <col width="16" customWidth="1" min="5" max="5"/>
    <col width="18" customWidth="1" min="6" max="6"/>
    <col width="30" customWidth="1" min="7" max="7"/>
  </cols>
  <sheetData>
    <row r="1">
      <c r="A1" s="5" t="inlineStr">
        <is>
          <t>Anuncio</t>
        </is>
      </c>
      <c r="B1" s="5" t="inlineStr">
        <is>
          <t>Días</t>
        </is>
      </c>
      <c r="C1" s="5" t="inlineStr">
        <is>
          <t>Gasto €</t>
        </is>
      </c>
      <c r="D1" s="5" t="inlineStr">
        <is>
          <t>Alcance</t>
        </is>
      </c>
      <c r="E1" s="5" t="inlineStr">
        <is>
          <t>Clics / mensajes</t>
        </is>
      </c>
      <c r="F1" s="5" t="inlineStr">
        <is>
          <t>Coste por mensaje €</t>
        </is>
      </c>
      <c r="G1" s="5" t="inlineStr">
        <is>
          <t>Notas</t>
        </is>
      </c>
    </row>
    <row r="2">
      <c r="A2" t="inlineStr">
        <is>
          <t>Regalos de empresa Navidad</t>
        </is>
      </c>
      <c r="F2" s="6">
        <f>IF(E2&gt;0,C2/E2,"")</f>
        <v/>
      </c>
      <c r="G2" t="inlineStr"/>
    </row>
    <row r="3">
      <c r="A3" t="inlineStr">
        <is>
          <t>Vino de la semana (tienda)</t>
        </is>
      </c>
      <c r="F3" s="6">
        <f>IF(E3&gt;0,C3/E3,"")</f>
        <v/>
      </c>
      <c r="G3" t="inlineStr"/>
    </row>
    <row r="4">
      <c r="A4" t="inlineStr">
        <is>
          <t>Cartas de vinos para hostelería</t>
        </is>
      </c>
      <c r="F4" s="6">
        <f>IF(E4&gt;0,C4/E4,"")</f>
        <v/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2026-10-31T12:58:34Z</dcterms:created>
  <dcterms:modified xsi:type="dcterms:W3CDTF">2026-10-31T12:58:34Z</dcterms:modified>
</cp:coreProperties>
</file>